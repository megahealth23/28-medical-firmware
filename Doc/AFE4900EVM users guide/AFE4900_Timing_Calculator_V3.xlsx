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0995"/>
  </bookViews>
  <sheets>
    <sheet name="AFE4410" sheetId="1" r:id="rId1"/>
  </sheets>
  <calcPr calcId="145621"/>
</workbook>
</file>

<file path=xl/calcChain.xml><?xml version="1.0" encoding="utf-8"?>
<calcChain xmlns="http://schemas.openxmlformats.org/spreadsheetml/2006/main">
  <c r="J7" i="1" l="1"/>
  <c r="J10" i="1" l="1"/>
  <c r="X24" i="1" l="1"/>
  <c r="X38" i="1"/>
  <c r="J3" i="1" l="1"/>
  <c r="J4" i="1" l="1"/>
  <c r="J5" i="1" s="1"/>
  <c r="J6" i="1"/>
  <c r="J25" i="1" l="1"/>
  <c r="K25" i="1" s="1"/>
  <c r="V24" i="1"/>
  <c r="W24" i="1" s="1"/>
  <c r="K9" i="1"/>
  <c r="V38" i="1" s="1"/>
  <c r="W38" i="1" s="1"/>
  <c r="V31" i="1"/>
  <c r="J13" i="1"/>
  <c r="J14" i="1" s="1"/>
  <c r="J11" i="1"/>
  <c r="J18" i="1"/>
  <c r="W31" i="1" l="1"/>
  <c r="AB23" i="1"/>
  <c r="AD23" i="1" s="1"/>
  <c r="X31" i="1"/>
  <c r="Q4" i="1"/>
  <c r="AB22" i="1" s="1"/>
  <c r="AD22" i="1" s="1"/>
  <c r="K14" i="1"/>
  <c r="V33" i="1"/>
  <c r="J12" i="1"/>
  <c r="V35" i="1" l="1"/>
  <c r="X35" i="1" s="1"/>
  <c r="W33" i="1"/>
  <c r="X33" i="1"/>
  <c r="J15" i="1"/>
  <c r="J19" i="1"/>
  <c r="R4" i="1"/>
  <c r="Q8" i="1"/>
  <c r="V12" i="1"/>
  <c r="W35" i="1" l="1"/>
  <c r="AB4" i="1"/>
  <c r="AD4" i="1" s="1"/>
  <c r="V4" i="1"/>
  <c r="W12" i="1"/>
  <c r="X12" i="1"/>
  <c r="V13" i="1"/>
  <c r="Y12" i="1" s="1"/>
  <c r="R8" i="1"/>
  <c r="V5" i="1" s="1"/>
  <c r="Q12" i="1"/>
  <c r="AB11" i="1" s="1"/>
  <c r="AD11" i="1" s="1"/>
  <c r="Q5" i="1"/>
  <c r="AB8" i="1" s="1"/>
  <c r="AD8" i="1" s="1"/>
  <c r="K15" i="1"/>
  <c r="J20" i="1" s="1"/>
  <c r="W13" i="1" l="1"/>
  <c r="Z13" i="1"/>
  <c r="AA13" i="1" s="1"/>
  <c r="X13" i="1"/>
  <c r="Y4" i="1"/>
  <c r="X4" i="1"/>
  <c r="W5" i="1"/>
  <c r="Z5" i="1"/>
  <c r="AA5" i="1" s="1"/>
  <c r="X5" i="1"/>
  <c r="W4" i="1"/>
  <c r="Q13" i="1"/>
  <c r="R5" i="1"/>
  <c r="J16" i="1"/>
  <c r="Q9" i="1"/>
  <c r="V25" i="1"/>
  <c r="V16" i="1"/>
  <c r="R12" i="1"/>
  <c r="V17" i="1" s="1"/>
  <c r="W25" i="1" l="1"/>
  <c r="X25" i="1"/>
  <c r="AB5" i="1"/>
  <c r="AD5" i="1" s="1"/>
  <c r="V8" i="1"/>
  <c r="W8" i="1" s="1"/>
  <c r="W16" i="1"/>
  <c r="Y16" i="1"/>
  <c r="X16" i="1"/>
  <c r="AB15" i="1"/>
  <c r="AD15" i="1" s="1"/>
  <c r="AB12" i="1"/>
  <c r="AD12" i="1" s="1"/>
  <c r="W17" i="1"/>
  <c r="X17" i="1"/>
  <c r="Z17" i="1"/>
  <c r="AA17" i="1" s="1"/>
  <c r="V26" i="1"/>
  <c r="R9" i="1"/>
  <c r="V9" i="1" s="1"/>
  <c r="V18" i="1"/>
  <c r="R13" i="1"/>
  <c r="V19" i="1" s="1"/>
  <c r="K16" i="1"/>
  <c r="Q6" i="1"/>
  <c r="AB9" i="1" s="1"/>
  <c r="AD9" i="1" s="1"/>
  <c r="W18" i="1" l="1"/>
  <c r="X18" i="1"/>
  <c r="Y18" i="1"/>
  <c r="W26" i="1"/>
  <c r="X26" i="1"/>
  <c r="Z26" i="1"/>
  <c r="AA26" i="1" s="1"/>
  <c r="X8" i="1"/>
  <c r="Y8" i="1"/>
  <c r="Y25" i="1"/>
  <c r="W9" i="1"/>
  <c r="X9" i="1"/>
  <c r="Z9" i="1"/>
  <c r="AA9" i="1" s="1"/>
  <c r="W19" i="1"/>
  <c r="X19" i="1"/>
  <c r="Z19" i="1"/>
  <c r="AA19" i="1" s="1"/>
  <c r="V6" i="1"/>
  <c r="Q10" i="1"/>
  <c r="R6" i="1"/>
  <c r="J17" i="1"/>
  <c r="J21" i="1"/>
  <c r="V10" i="1" l="1"/>
  <c r="AB6" i="1"/>
  <c r="AD6" i="1" s="1"/>
  <c r="W6" i="1"/>
  <c r="X6" i="1"/>
  <c r="R10" i="1"/>
  <c r="V11" i="1" s="1"/>
  <c r="V7" i="1"/>
  <c r="Q14" i="1"/>
  <c r="K17" i="1"/>
  <c r="R7" i="1" s="1"/>
  <c r="Q7" i="1"/>
  <c r="AB10" i="1" s="1"/>
  <c r="AD10" i="1" s="1"/>
  <c r="W7" i="1" l="1"/>
  <c r="Z7" i="1"/>
  <c r="AA7" i="1" s="1"/>
  <c r="X7" i="1"/>
  <c r="W10" i="1"/>
  <c r="Y10" i="1"/>
  <c r="X10" i="1"/>
  <c r="AB13" i="1"/>
  <c r="AD13" i="1" s="1"/>
  <c r="AB16" i="1"/>
  <c r="AD16" i="1" s="1"/>
  <c r="Y6" i="1"/>
  <c r="W11" i="1"/>
  <c r="Z11" i="1"/>
  <c r="AA11" i="1" s="1"/>
  <c r="X11" i="1"/>
  <c r="V20" i="1"/>
  <c r="R14" i="1"/>
  <c r="V21" i="1" s="1"/>
  <c r="V27" i="1"/>
  <c r="Q11" i="1"/>
  <c r="R11" i="1"/>
  <c r="V15" i="1" s="1"/>
  <c r="V28" i="1"/>
  <c r="J22" i="1"/>
  <c r="W28" i="1" l="1"/>
  <c r="X28" i="1"/>
  <c r="Z28" i="1"/>
  <c r="AA28" i="1" s="1"/>
  <c r="W21" i="1"/>
  <c r="X21" i="1"/>
  <c r="Z21" i="1"/>
  <c r="AA21" i="1" s="1"/>
  <c r="W15" i="1"/>
  <c r="X15" i="1"/>
  <c r="W20" i="1"/>
  <c r="X20" i="1"/>
  <c r="Y20" i="1"/>
  <c r="V14" i="1"/>
  <c r="AB7" i="1"/>
  <c r="AD7" i="1" s="1"/>
  <c r="W27" i="1"/>
  <c r="X27" i="1"/>
  <c r="Y27" i="1"/>
  <c r="Q15" i="1"/>
  <c r="J23" i="1"/>
  <c r="K10" i="1" s="1"/>
  <c r="W14" i="1" l="1"/>
  <c r="Y14" i="1"/>
  <c r="X14" i="1"/>
  <c r="AB17" i="1"/>
  <c r="AD17" i="1" s="1"/>
  <c r="AB14" i="1"/>
  <c r="AD14" i="1" s="1"/>
  <c r="Z15" i="1"/>
  <c r="AA15" i="1" s="1"/>
  <c r="J24" i="1"/>
  <c r="V22" i="1"/>
  <c r="R15" i="1"/>
  <c r="V23" i="1" s="1"/>
  <c r="V29" i="1" l="1"/>
  <c r="K24" i="1"/>
  <c r="W22" i="1"/>
  <c r="Y22" i="1"/>
  <c r="X22" i="1"/>
  <c r="W23" i="1"/>
  <c r="Z23" i="1"/>
  <c r="AA23" i="1" s="1"/>
  <c r="AA41" i="1" s="1"/>
  <c r="X23" i="1"/>
  <c r="K12" i="1"/>
  <c r="V32" i="1"/>
  <c r="X32" i="1" s="1"/>
  <c r="K11" i="1"/>
  <c r="V30" i="1" l="1"/>
  <c r="Y29" i="1" s="1"/>
  <c r="J9" i="1"/>
  <c r="V37" i="1" s="1"/>
  <c r="W29" i="1"/>
  <c r="X29" i="1"/>
  <c r="AB19" i="1"/>
  <c r="AD19" i="1" s="1"/>
  <c r="W32" i="1"/>
  <c r="Z32" i="1"/>
  <c r="Y31" i="1"/>
  <c r="AB18" i="1"/>
  <c r="AD18" i="1" s="1"/>
  <c r="V34" i="1"/>
  <c r="X34" i="1" s="1"/>
  <c r="V36" i="1"/>
  <c r="X36" i="1" s="1"/>
  <c r="Y37" i="1" l="1"/>
  <c r="X37" i="1"/>
  <c r="W36" i="1"/>
  <c r="Z36" i="1"/>
  <c r="Y35" i="1"/>
  <c r="Z38" i="1"/>
  <c r="AB21" i="1"/>
  <c r="AD21" i="1" s="1"/>
  <c r="W30" i="1"/>
  <c r="AB20" i="1"/>
  <c r="AD20" i="1" s="1"/>
  <c r="Z30" i="1"/>
  <c r="X30" i="1"/>
  <c r="W34" i="1"/>
  <c r="Y33" i="1"/>
  <c r="Z34" i="1"/>
  <c r="W37" i="1"/>
  <c r="X41" i="1" l="1"/>
  <c r="AD41" i="1"/>
  <c r="Y41" i="1"/>
  <c r="U41" i="1" l="1"/>
</calcChain>
</file>

<file path=xl/sharedStrings.xml><?xml version="1.0" encoding="utf-8"?>
<sst xmlns="http://schemas.openxmlformats.org/spreadsheetml/2006/main" count="169" uniqueCount="131">
  <si>
    <t>FIXED RULES</t>
  </si>
  <si>
    <t>SCRATCHPAD</t>
  </si>
  <si>
    <t>OUTPUTS/ RESULTS</t>
  </si>
  <si>
    <t>INPUT PARAMETERS</t>
  </si>
  <si>
    <t>RULES/ RECOMMENDATIONS</t>
  </si>
  <si>
    <t>DERIVED PARAMETERS</t>
  </si>
  <si>
    <t>COUNT OF PHASES</t>
  </si>
  <si>
    <t>TIMING REGISTER SETTINGS</t>
  </si>
  <si>
    <t>Clock frequency</t>
  </si>
  <si>
    <t>kHz</t>
  </si>
  <si>
    <t>Deep sleep end to DYN* start</t>
  </si>
  <si>
    <t>us</t>
  </si>
  <si>
    <t>Period of timer count (tTE)</t>
  </si>
  <si>
    <t>Start</t>
  </si>
  <si>
    <t>End</t>
  </si>
  <si>
    <t>Timing Register Name</t>
  </si>
  <si>
    <t>Dec</t>
  </si>
  <si>
    <t>Hex</t>
  </si>
  <si>
    <t>Clk div to Timer (CLKDIVPRF)</t>
  </si>
  <si>
    <t>DYN* start to 1st LED start</t>
  </si>
  <si>
    <t>Sampling pulsewidth</t>
  </si>
  <si>
    <t>count</t>
  </si>
  <si>
    <t>LED2</t>
  </si>
  <si>
    <t>LED2STC</t>
  </si>
  <si>
    <t># of ADC avg (NUMAV+1)</t>
  </si>
  <si>
    <t>LED ON to SAMP ON (min)</t>
  </si>
  <si>
    <t>LED pulsewidth</t>
  </si>
  <si>
    <t>LED3</t>
  </si>
  <si>
    <t>LED2ENDC</t>
  </si>
  <si>
    <t>Desired PRF setting</t>
  </si>
  <si>
    <t>Hz</t>
  </si>
  <si>
    <t>SAMP end to LED end</t>
  </si>
  <si>
    <t>PRF count</t>
  </si>
  <si>
    <t>LED1</t>
  </si>
  <si>
    <t>LED1LEDSTC</t>
  </si>
  <si>
    <t>Sampling pulsewidth (all 4 common)</t>
  </si>
  <si>
    <t>LED end to start of next LED</t>
  </si>
  <si>
    <t>Conversion count</t>
  </si>
  <si>
    <t>LED4</t>
  </si>
  <si>
    <t>LED1LEDENDC</t>
  </si>
  <si>
    <t>LED end to CONV start</t>
  </si>
  <si>
    <t>SAMP2</t>
  </si>
  <si>
    <t>LED3STC</t>
  </si>
  <si>
    <t>CONV end to next CONV start</t>
  </si>
  <si>
    <t>Deep sleep</t>
  </si>
  <si>
    <t>SAMP3</t>
  </si>
  <si>
    <t>LED3ENDC</t>
  </si>
  <si>
    <t>Last CONV end to DATA_RDY start</t>
  </si>
  <si>
    <t>DYN_TIA</t>
  </si>
  <si>
    <t>SAMP1</t>
  </si>
  <si>
    <t>LED1STC</t>
  </si>
  <si>
    <t>Width of DATA_RDY pulse</t>
  </si>
  <si>
    <t>DYN_ADC</t>
  </si>
  <si>
    <t>SAMP4</t>
  </si>
  <si>
    <t>LED1ENDC</t>
  </si>
  <si>
    <t>SAMPLING ORDER (mark 0 if not active)</t>
  </si>
  <si>
    <t>Last CONV end to DYN* end</t>
  </si>
  <si>
    <t>DYN_CLK</t>
  </si>
  <si>
    <t>LED2CONV</t>
  </si>
  <si>
    <t>LED2LEDSTC</t>
  </si>
  <si>
    <t>DATA_RDY end to Deep Sleep start</t>
  </si>
  <si>
    <t>Active phase</t>
  </si>
  <si>
    <t>LED3CONV</t>
  </si>
  <si>
    <t>A</t>
  </si>
  <si>
    <t>LED2LEDENDC</t>
  </si>
  <si>
    <t>1st LED window</t>
  </si>
  <si>
    <t>LED1CONV</t>
  </si>
  <si>
    <t>B</t>
  </si>
  <si>
    <t>ALED1STC</t>
  </si>
  <si>
    <t>2nd LED window</t>
  </si>
  <si>
    <t>LED4CONV</t>
  </si>
  <si>
    <t>C</t>
  </si>
  <si>
    <t>ALED1ENDC</t>
  </si>
  <si>
    <t>3rd LED window</t>
  </si>
  <si>
    <t>D</t>
  </si>
  <si>
    <t>LED2CONVST</t>
  </si>
  <si>
    <t>4th LED window</t>
  </si>
  <si>
    <t>E</t>
  </si>
  <si>
    <t>LED2CONVEND</t>
  </si>
  <si>
    <t>LED ON to SAMP ON</t>
  </si>
  <si>
    <t>F</t>
  </si>
  <si>
    <t>ALED2CONVST</t>
  </si>
  <si>
    <t>1st CONV</t>
  </si>
  <si>
    <t>ALED2CONVEND</t>
  </si>
  <si>
    <t>2nd CONV</t>
  </si>
  <si>
    <t>LED1CONVST</t>
  </si>
  <si>
    <t>3rd CONV</t>
  </si>
  <si>
    <t>LED1CONVEND</t>
  </si>
  <si>
    <t>4th CONV</t>
  </si>
  <si>
    <t>ALED1CONVST</t>
  </si>
  <si>
    <t>End of last CONV phase</t>
  </si>
  <si>
    <t>ALED1CONVEND</t>
  </si>
  <si>
    <t>DATA_RDY</t>
  </si>
  <si>
    <t>1D</t>
  </si>
  <si>
    <t>PRPCOUNT</t>
  </si>
  <si>
    <t>Count for an unused phase</t>
  </si>
  <si>
    <t>LED3LEDSTC</t>
  </si>
  <si>
    <t>LED3LEDENDC</t>
  </si>
  <si>
    <t>LED4LEDSTC</t>
  </si>
  <si>
    <t>LED4LEDENDC</t>
  </si>
  <si>
    <t>DATA_RDY_STC</t>
  </si>
  <si>
    <t>Going into sleep every PRF cycle?</t>
  </si>
  <si>
    <t>Yes</t>
  </si>
  <si>
    <t>DATA_RDY_END</t>
  </si>
  <si>
    <t>DYN_TIA_STC</t>
  </si>
  <si>
    <t>DYN_TIA_ENDC</t>
  </si>
  <si>
    <t>Color code</t>
  </si>
  <si>
    <t>DYN_ADC_STC</t>
  </si>
  <si>
    <t>Input</t>
  </si>
  <si>
    <t>Output</t>
  </si>
  <si>
    <t>DYN_ADC_ENDC</t>
  </si>
  <si>
    <t>DYN_CLK_STC</t>
  </si>
  <si>
    <t>Preliminary. Subject to change</t>
  </si>
  <si>
    <t>DYN_CLK_ENDC</t>
  </si>
  <si>
    <t>DEEP_SLEEP_STC</t>
  </si>
  <si>
    <t>DEEP_SLEEP_ENDC</t>
  </si>
  <si>
    <t>INPUTS</t>
  </si>
  <si>
    <t>Shared under NDA</t>
  </si>
  <si>
    <t>LED_ON to SAMP_ON</t>
  </si>
  <si>
    <t>LED_ON end to next LED_ON start</t>
  </si>
  <si>
    <t>LED_ON end to CNV start</t>
  </si>
  <si>
    <t>CNV end to next CNV start</t>
  </si>
  <si>
    <t>end of last cnv to end of active</t>
  </si>
  <si>
    <t>last cnv end to adc_rdy start</t>
  </si>
  <si>
    <t>width of ADC_RDY</t>
  </si>
  <si>
    <t>ADC_RDY end to DeepSleep start</t>
  </si>
  <si>
    <t>Start of active to First LED_ON start</t>
  </si>
  <si>
    <t>DeepSleep end to Active start</t>
  </si>
  <si>
    <t>6A</t>
  </si>
  <si>
    <t>6B</t>
  </si>
  <si>
    <t>Addr(Hex).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</si>
</sst>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0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0" xfId="0" applyNumberFormat="1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2"/>
  <sheetViews>
    <sheetView tabSelected="1" zoomScale="70" zoomScaleNormal="70" workbookViewId="0">
      <selection activeCell="B6" sqref="B6"/>
    </sheetView>
  </sheetViews>
  <sheetFormatPr defaultColWidth="9.1328125" defaultRowHeight="10.15" x14ac:dyDescent="0.45"/>
  <cols>
    <col min="1" max="1" width="25.1328125" style="1" customWidth="1"/>
    <col min="2" max="2" width="5.3984375" style="1" customWidth="1"/>
    <col min="3" max="3" width="5.86328125" style="1" customWidth="1"/>
    <col min="4" max="4" width="1.1328125" style="1" customWidth="1"/>
    <col min="5" max="5" width="26.73046875" style="1" customWidth="1"/>
    <col min="6" max="6" width="6.1328125" style="1" customWidth="1"/>
    <col min="7" max="7" width="4.86328125" style="1" customWidth="1"/>
    <col min="8" max="8" width="1.265625" style="1" customWidth="1"/>
    <col min="9" max="9" width="21.265625" style="1" customWidth="1"/>
    <col min="10" max="10" width="6.1328125" style="1" customWidth="1"/>
    <col min="11" max="13" width="5.59765625" style="1" customWidth="1"/>
    <col min="14" max="14" width="5.265625" style="1" customWidth="1"/>
    <col min="15" max="15" width="1.1328125" style="1" customWidth="1"/>
    <col min="16" max="16" width="9.59765625" style="1" customWidth="1"/>
    <col min="17" max="18" width="8.1328125" style="1" customWidth="1"/>
    <col min="19" max="19" width="1.1328125" style="1" customWidth="1"/>
    <col min="20" max="20" width="6" style="1" customWidth="1"/>
    <col min="21" max="21" width="18.3984375" style="1" customWidth="1"/>
    <col min="22" max="22" width="6.1328125" style="1" customWidth="1"/>
    <col min="23" max="23" width="4.3984375" style="1" customWidth="1"/>
    <col min="24" max="31" width="0.33203125" style="1" customWidth="1"/>
    <col min="32" max="32" width="10.33203125" style="1" customWidth="1"/>
    <col min="33" max="33" width="9.86328125" style="1" customWidth="1"/>
    <col min="34" max="16384" width="9.1328125" style="1"/>
  </cols>
  <sheetData>
    <row r="1" spans="1:31" ht="12.75" x14ac:dyDescent="0.25">
      <c r="A1" s="24" t="s">
        <v>116</v>
      </c>
      <c r="B1" s="25"/>
      <c r="C1" s="25"/>
      <c r="E1" s="26" t="s">
        <v>0</v>
      </c>
      <c r="F1" s="27"/>
      <c r="G1" s="27"/>
      <c r="I1" s="26" t="s">
        <v>1</v>
      </c>
      <c r="J1" s="28"/>
      <c r="K1" s="28"/>
      <c r="L1" s="28"/>
      <c r="M1" s="28"/>
      <c r="N1" s="28"/>
      <c r="O1" s="28"/>
      <c r="P1" s="28"/>
      <c r="Q1" s="28"/>
      <c r="R1" s="28"/>
      <c r="T1" s="29" t="s">
        <v>2</v>
      </c>
      <c r="U1" s="30"/>
      <c r="V1" s="30"/>
      <c r="W1" s="30"/>
    </row>
    <row r="2" spans="1:31" ht="11.25" customHeight="1" x14ac:dyDescent="0.25">
      <c r="A2" s="31" t="s">
        <v>3</v>
      </c>
      <c r="B2" s="31"/>
      <c r="C2" s="31"/>
      <c r="E2" s="31" t="s">
        <v>4</v>
      </c>
      <c r="F2" s="31"/>
      <c r="G2" s="31"/>
      <c r="I2" s="31" t="s">
        <v>5</v>
      </c>
      <c r="J2" s="31"/>
      <c r="K2" s="31"/>
      <c r="L2" s="31"/>
      <c r="M2" s="31"/>
      <c r="N2" s="31"/>
      <c r="P2" s="31" t="s">
        <v>6</v>
      </c>
      <c r="Q2" s="32"/>
      <c r="R2" s="32"/>
      <c r="T2" s="31" t="s">
        <v>7</v>
      </c>
      <c r="U2" s="32"/>
      <c r="V2" s="32"/>
      <c r="W2" s="32"/>
      <c r="X2" s="4"/>
    </row>
    <row r="3" spans="1:31" ht="11.25" customHeight="1" x14ac:dyDescent="0.45">
      <c r="A3" s="2" t="s">
        <v>8</v>
      </c>
      <c r="B3" s="3">
        <v>32</v>
      </c>
      <c r="C3" s="1" t="s">
        <v>9</v>
      </c>
      <c r="E3" s="2" t="s">
        <v>10</v>
      </c>
      <c r="F3" s="1">
        <v>200</v>
      </c>
      <c r="G3" s="1" t="s">
        <v>11</v>
      </c>
      <c r="I3" s="2" t="s">
        <v>12</v>
      </c>
      <c r="J3" s="4">
        <f xml:space="preserve"> 1000/B3*B4</f>
        <v>31.25</v>
      </c>
      <c r="K3" s="4"/>
      <c r="L3" s="1" t="s">
        <v>11</v>
      </c>
      <c r="Q3" s="5" t="s">
        <v>13</v>
      </c>
      <c r="R3" s="5" t="s">
        <v>14</v>
      </c>
      <c r="T3" s="6" t="s">
        <v>130</v>
      </c>
      <c r="U3" s="6" t="s">
        <v>15</v>
      </c>
      <c r="V3" s="6" t="s">
        <v>16</v>
      </c>
      <c r="W3" s="6" t="s">
        <v>17</v>
      </c>
      <c r="X3" s="4"/>
    </row>
    <row r="4" spans="1:31" ht="11.25" customHeight="1" x14ac:dyDescent="0.45">
      <c r="A4" s="2" t="s">
        <v>18</v>
      </c>
      <c r="B4" s="3">
        <v>1</v>
      </c>
      <c r="E4" s="2" t="s">
        <v>19</v>
      </c>
      <c r="F4" s="8">
        <v>300</v>
      </c>
      <c r="G4" s="1" t="s">
        <v>11</v>
      </c>
      <c r="I4" s="2" t="s">
        <v>20</v>
      </c>
      <c r="J4" s="9">
        <f xml:space="preserve"> CEILING(B7/J3,1)</f>
        <v>1</v>
      </c>
      <c r="K4" s="9"/>
      <c r="L4" s="1" t="s">
        <v>21</v>
      </c>
      <c r="P4" s="1" t="s">
        <v>22</v>
      </c>
      <c r="Q4" s="7">
        <f t="shared" ref="Q4:R7" si="0" xml:space="preserve"> IF($B10=0,$J$25,CHOOSE($B10,J$14,J$15,J$16,J$17))</f>
        <v>17</v>
      </c>
      <c r="R4" s="7">
        <f t="shared" si="0"/>
        <v>19</v>
      </c>
      <c r="T4" s="10">
        <v>1</v>
      </c>
      <c r="U4" s="10" t="s">
        <v>23</v>
      </c>
      <c r="V4" s="11">
        <f xml:space="preserve"> Q8</f>
        <v>18</v>
      </c>
      <c r="W4" s="12" t="str">
        <f t="shared" ref="W4:W38" si="1" xml:space="preserve"> DEC2HEX(V4)</f>
        <v>12</v>
      </c>
      <c r="X4" s="22">
        <f>IF(V4&gt;$V$24,1,0)</f>
        <v>0</v>
      </c>
      <c r="Y4" s="1">
        <f>IF(V4&gt;V5,1,0)</f>
        <v>0</v>
      </c>
      <c r="AB4" s="1">
        <f>(Q8-Q4)*$J$3</f>
        <v>31.25</v>
      </c>
      <c r="AC4" s="1">
        <v>25</v>
      </c>
      <c r="AD4" s="1">
        <f>IF(AB4&lt;AC4,1,0)</f>
        <v>0</v>
      </c>
      <c r="AE4" s="33" t="s">
        <v>118</v>
      </c>
    </row>
    <row r="5" spans="1:31" ht="11.25" customHeight="1" x14ac:dyDescent="0.45">
      <c r="A5" s="2" t="s">
        <v>24</v>
      </c>
      <c r="B5" s="3">
        <v>4</v>
      </c>
      <c r="E5" s="2" t="s">
        <v>25</v>
      </c>
      <c r="F5" s="1">
        <v>25</v>
      </c>
      <c r="G5" s="1" t="s">
        <v>11</v>
      </c>
      <c r="I5" s="2" t="s">
        <v>26</v>
      </c>
      <c r="J5" s="8">
        <f xml:space="preserve"> J4+CEILING(F5/J3,1)</f>
        <v>2</v>
      </c>
      <c r="K5" s="8"/>
      <c r="L5" s="1" t="s">
        <v>21</v>
      </c>
      <c r="P5" s="1" t="s">
        <v>27</v>
      </c>
      <c r="Q5" s="7">
        <f t="shared" si="0"/>
        <v>20</v>
      </c>
      <c r="R5" s="7">
        <f t="shared" si="0"/>
        <v>22</v>
      </c>
      <c r="S5" s="7"/>
      <c r="T5" s="10">
        <v>2</v>
      </c>
      <c r="U5" s="10" t="s">
        <v>28</v>
      </c>
      <c r="V5" s="10">
        <f xml:space="preserve"> R8-1</f>
        <v>18</v>
      </c>
      <c r="W5" s="12" t="str">
        <f t="shared" si="1"/>
        <v>12</v>
      </c>
      <c r="X5" s="22">
        <f t="shared" ref="X5:X38" si="2">IF(V5&gt;$V$24,1,0)</f>
        <v>0</v>
      </c>
      <c r="Z5" s="1">
        <f>(V5-V4+1)*$J$3</f>
        <v>31.25</v>
      </c>
      <c r="AA5" s="1">
        <f>IF(Z5&lt;30,1,0)</f>
        <v>0</v>
      </c>
      <c r="AB5" s="1">
        <f t="shared" ref="AB5:AB7" si="3">(Q9-Q5)*$J$3</f>
        <v>31.25</v>
      </c>
      <c r="AC5" s="1">
        <v>25</v>
      </c>
      <c r="AD5" s="1">
        <f t="shared" ref="AD5:AD21" si="4">IF(AB5&lt;AC5,1,0)</f>
        <v>0</v>
      </c>
      <c r="AE5" s="33"/>
    </row>
    <row r="6" spans="1:31" ht="11.25" customHeight="1" x14ac:dyDescent="0.45">
      <c r="A6" s="2" t="s">
        <v>29</v>
      </c>
      <c r="B6" s="3">
        <v>25</v>
      </c>
      <c r="C6" s="1" t="s">
        <v>30</v>
      </c>
      <c r="E6" s="2" t="s">
        <v>31</v>
      </c>
      <c r="F6" s="1">
        <v>0</v>
      </c>
      <c r="G6" s="1" t="s">
        <v>21</v>
      </c>
      <c r="I6" s="2" t="s">
        <v>32</v>
      </c>
      <c r="J6" s="8">
        <f xml:space="preserve"> CEILING(1000000/B6/J3,1)</f>
        <v>1280</v>
      </c>
      <c r="K6" s="8"/>
      <c r="L6" s="1" t="s">
        <v>21</v>
      </c>
      <c r="P6" s="7" t="s">
        <v>33</v>
      </c>
      <c r="Q6" s="7">
        <f t="shared" si="0"/>
        <v>23</v>
      </c>
      <c r="R6" s="7">
        <f t="shared" si="0"/>
        <v>25</v>
      </c>
      <c r="T6" s="10">
        <v>3</v>
      </c>
      <c r="U6" s="10" t="s">
        <v>34</v>
      </c>
      <c r="V6" s="10">
        <f xml:space="preserve"> Q6</f>
        <v>23</v>
      </c>
      <c r="W6" s="12" t="str">
        <f t="shared" si="1"/>
        <v>17</v>
      </c>
      <c r="X6" s="22">
        <f t="shared" si="2"/>
        <v>0</v>
      </c>
      <c r="Y6" s="1">
        <f>IF(V6&gt;V7,1,0)</f>
        <v>0</v>
      </c>
      <c r="AB6" s="1">
        <f t="shared" si="3"/>
        <v>31.25</v>
      </c>
      <c r="AC6" s="1">
        <v>25</v>
      </c>
      <c r="AD6" s="1">
        <f t="shared" si="4"/>
        <v>0</v>
      </c>
      <c r="AE6" s="33"/>
    </row>
    <row r="7" spans="1:31" ht="11.25" customHeight="1" x14ac:dyDescent="0.45">
      <c r="A7" s="2" t="s">
        <v>35</v>
      </c>
      <c r="B7" s="3">
        <v>30</v>
      </c>
      <c r="C7" s="1" t="s">
        <v>11</v>
      </c>
      <c r="E7" s="2" t="s">
        <v>36</v>
      </c>
      <c r="F7" s="8">
        <v>1</v>
      </c>
      <c r="G7" s="1" t="s">
        <v>21</v>
      </c>
      <c r="I7" s="2" t="s">
        <v>37</v>
      </c>
      <c r="J7" s="1">
        <f xml:space="preserve"> CEILING((52.3*(B5-1)+67)/J3,1)</f>
        <v>8</v>
      </c>
      <c r="L7" s="1" t="s">
        <v>21</v>
      </c>
      <c r="P7" s="1" t="s">
        <v>38</v>
      </c>
      <c r="Q7" s="7">
        <f t="shared" si="0"/>
        <v>26</v>
      </c>
      <c r="R7" s="7">
        <f t="shared" si="0"/>
        <v>28</v>
      </c>
      <c r="T7" s="10">
        <v>4</v>
      </c>
      <c r="U7" s="10" t="s">
        <v>39</v>
      </c>
      <c r="V7" s="10">
        <f xml:space="preserve"> R6-1</f>
        <v>24</v>
      </c>
      <c r="W7" s="12" t="str">
        <f t="shared" si="1"/>
        <v>18</v>
      </c>
      <c r="X7" s="22">
        <f t="shared" si="2"/>
        <v>0</v>
      </c>
      <c r="Z7" s="1">
        <f>(V7-V6+1)*$J$3</f>
        <v>62.5</v>
      </c>
      <c r="AA7" s="1">
        <f>IF(Z7&lt;55,1,0)</f>
        <v>0</v>
      </c>
      <c r="AB7" s="1">
        <f t="shared" si="3"/>
        <v>31.25</v>
      </c>
      <c r="AC7" s="1">
        <v>25</v>
      </c>
      <c r="AD7" s="1">
        <f t="shared" si="4"/>
        <v>0</v>
      </c>
      <c r="AE7" s="33"/>
    </row>
    <row r="8" spans="1:31" ht="11.25" customHeight="1" x14ac:dyDescent="0.45">
      <c r="A8" s="2" t="s">
        <v>101</v>
      </c>
      <c r="B8" s="3" t="s">
        <v>102</v>
      </c>
      <c r="E8" s="2" t="s">
        <v>40</v>
      </c>
      <c r="F8" s="8">
        <v>1</v>
      </c>
      <c r="G8" s="1" t="s">
        <v>21</v>
      </c>
      <c r="J8" s="5" t="s">
        <v>13</v>
      </c>
      <c r="K8" s="5" t="s">
        <v>14</v>
      </c>
      <c r="P8" s="1" t="s">
        <v>41</v>
      </c>
      <c r="Q8" s="13">
        <f xml:space="preserve"> IF(B10=0,$J$25,(Q4+J$18))</f>
        <v>18</v>
      </c>
      <c r="R8" s="7">
        <f xml:space="preserve"> R4</f>
        <v>19</v>
      </c>
      <c r="T8" s="10">
        <v>5</v>
      </c>
      <c r="U8" s="10" t="s">
        <v>42</v>
      </c>
      <c r="V8" s="11">
        <f xml:space="preserve"> Q9</f>
        <v>21</v>
      </c>
      <c r="W8" s="12" t="str">
        <f t="shared" si="1"/>
        <v>15</v>
      </c>
      <c r="X8" s="22">
        <f t="shared" si="2"/>
        <v>0</v>
      </c>
      <c r="Y8" s="1">
        <f>IF(V8&gt;V9,1,0)</f>
        <v>0</v>
      </c>
      <c r="AB8" s="1">
        <f>(Q5-(R4-1))</f>
        <v>2</v>
      </c>
      <c r="AC8" s="1">
        <v>1</v>
      </c>
      <c r="AD8" s="1">
        <f t="shared" si="4"/>
        <v>0</v>
      </c>
      <c r="AE8" s="33" t="s">
        <v>119</v>
      </c>
    </row>
    <row r="9" spans="1:31" ht="11.25" customHeight="1" x14ac:dyDescent="0.45">
      <c r="A9" s="31" t="s">
        <v>55</v>
      </c>
      <c r="B9" s="31"/>
      <c r="C9" s="31"/>
      <c r="D9" s="8"/>
      <c r="E9" s="2" t="s">
        <v>43</v>
      </c>
      <c r="F9" s="1">
        <v>1</v>
      </c>
      <c r="G9" s="1" t="s">
        <v>21</v>
      </c>
      <c r="H9" s="8"/>
      <c r="I9" s="14" t="s">
        <v>44</v>
      </c>
      <c r="J9" s="8">
        <f xml:space="preserve"> IF(B8="Yes",(K24+F13+1),(J6+2))</f>
        <v>67</v>
      </c>
      <c r="K9" s="8">
        <f>J6</f>
        <v>1280</v>
      </c>
      <c r="L9" s="1" t="s">
        <v>21</v>
      </c>
      <c r="O9" s="8"/>
      <c r="P9" s="1" t="s">
        <v>45</v>
      </c>
      <c r="Q9" s="13">
        <f xml:space="preserve"> IF(B11=0,$J$25,(Q5+J$18))</f>
        <v>21</v>
      </c>
      <c r="R9" s="7">
        <f t="shared" ref="R9:R11" si="5" xml:space="preserve"> R5</f>
        <v>22</v>
      </c>
      <c r="T9" s="10">
        <v>6</v>
      </c>
      <c r="U9" s="10" t="s">
        <v>46</v>
      </c>
      <c r="V9" s="10">
        <f xml:space="preserve"> R9-1</f>
        <v>21</v>
      </c>
      <c r="W9" s="12" t="str">
        <f t="shared" si="1"/>
        <v>15</v>
      </c>
      <c r="X9" s="22">
        <f t="shared" si="2"/>
        <v>0</v>
      </c>
      <c r="Z9" s="1">
        <f>(V9-V8+1)*$J$3</f>
        <v>31.25</v>
      </c>
      <c r="AA9" s="1">
        <f>IF(Z9&lt;30,1,0)</f>
        <v>0</v>
      </c>
      <c r="AB9" s="1">
        <f t="shared" ref="AB9" si="6">(Q6-(R5-1))</f>
        <v>2</v>
      </c>
      <c r="AC9" s="1">
        <v>1</v>
      </c>
      <c r="AD9" s="1">
        <f t="shared" si="4"/>
        <v>0</v>
      </c>
      <c r="AE9" s="33"/>
    </row>
    <row r="10" spans="1:31" ht="11.25" customHeight="1" x14ac:dyDescent="0.45">
      <c r="A10" s="2" t="s">
        <v>41</v>
      </c>
      <c r="B10" s="3">
        <v>1</v>
      </c>
      <c r="D10" s="8"/>
      <c r="E10" s="2" t="s">
        <v>47</v>
      </c>
      <c r="F10" s="1">
        <v>6</v>
      </c>
      <c r="G10" s="1" t="s">
        <v>21</v>
      </c>
      <c r="H10" s="8"/>
      <c r="I10" s="14" t="s">
        <v>48</v>
      </c>
      <c r="J10" s="8">
        <f xml:space="preserve"> IF(B8="Yes",CEILING(F3/J3,1),0)</f>
        <v>7</v>
      </c>
      <c r="K10" s="8">
        <f xml:space="preserve"> IF(B8="Yes",(J23+F12),(J6+1))</f>
        <v>57</v>
      </c>
      <c r="L10" s="1" t="s">
        <v>21</v>
      </c>
      <c r="O10" s="8"/>
      <c r="P10" s="1" t="s">
        <v>49</v>
      </c>
      <c r="Q10" s="13">
        <f xml:space="preserve"> IF(B12=0,$J$25,(Q6+J$18))</f>
        <v>24</v>
      </c>
      <c r="R10" s="7">
        <f t="shared" si="5"/>
        <v>25</v>
      </c>
      <c r="T10" s="10">
        <v>7</v>
      </c>
      <c r="U10" s="10" t="s">
        <v>50</v>
      </c>
      <c r="V10" s="11">
        <f xml:space="preserve"> Q10</f>
        <v>24</v>
      </c>
      <c r="W10" s="12" t="str">
        <f t="shared" si="1"/>
        <v>18</v>
      </c>
      <c r="X10" s="22">
        <f t="shared" si="2"/>
        <v>0</v>
      </c>
      <c r="Y10" s="1">
        <f>IF(V10&gt;V11,1,0)</f>
        <v>0</v>
      </c>
      <c r="AB10" s="1">
        <f>(Q7-(R6-1))</f>
        <v>2</v>
      </c>
      <c r="AC10" s="1">
        <v>1</v>
      </c>
      <c r="AD10" s="1">
        <f t="shared" si="4"/>
        <v>0</v>
      </c>
      <c r="AE10" s="33"/>
    </row>
    <row r="11" spans="1:31" ht="11.25" customHeight="1" x14ac:dyDescent="0.45">
      <c r="A11" s="2" t="s">
        <v>45</v>
      </c>
      <c r="B11" s="3">
        <v>2</v>
      </c>
      <c r="D11" s="8"/>
      <c r="E11" s="2" t="s">
        <v>51</v>
      </c>
      <c r="F11" s="1">
        <v>1</v>
      </c>
      <c r="G11" s="1" t="s">
        <v>21</v>
      </c>
      <c r="H11" s="8"/>
      <c r="I11" s="14" t="s">
        <v>52</v>
      </c>
      <c r="J11" s="1">
        <f xml:space="preserve"> J10</f>
        <v>7</v>
      </c>
      <c r="K11" s="1">
        <f xml:space="preserve"> K10</f>
        <v>57</v>
      </c>
      <c r="L11" s="1" t="s">
        <v>21</v>
      </c>
      <c r="O11" s="8"/>
      <c r="P11" s="1" t="s">
        <v>53</v>
      </c>
      <c r="Q11" s="13">
        <f xml:space="preserve"> IF(B13=0,$J$25,(Q7+J$18))</f>
        <v>27</v>
      </c>
      <c r="R11" s="7">
        <f t="shared" si="5"/>
        <v>28</v>
      </c>
      <c r="T11" s="10">
        <v>8</v>
      </c>
      <c r="U11" s="10" t="s">
        <v>54</v>
      </c>
      <c r="V11" s="10">
        <f xml:space="preserve"> R10-1</f>
        <v>24</v>
      </c>
      <c r="W11" s="12" t="str">
        <f t="shared" si="1"/>
        <v>18</v>
      </c>
      <c r="X11" s="22">
        <f t="shared" si="2"/>
        <v>0</v>
      </c>
      <c r="Z11" s="1">
        <f>(V11-V10+1)*$J$3</f>
        <v>31.25</v>
      </c>
      <c r="AA11" s="1">
        <f>IF(Z11&lt;30,1,0)</f>
        <v>0</v>
      </c>
      <c r="AB11" s="1">
        <f>(Q12-(R4-1))</f>
        <v>2</v>
      </c>
      <c r="AC11" s="1">
        <v>1</v>
      </c>
      <c r="AD11" s="1">
        <f t="shared" si="4"/>
        <v>0</v>
      </c>
      <c r="AE11" s="33" t="s">
        <v>120</v>
      </c>
    </row>
    <row r="12" spans="1:31" ht="11.25" customHeight="1" x14ac:dyDescent="0.45">
      <c r="A12" s="2" t="s">
        <v>49</v>
      </c>
      <c r="B12" s="3">
        <v>3</v>
      </c>
      <c r="D12" s="8"/>
      <c r="E12" s="2" t="s">
        <v>56</v>
      </c>
      <c r="F12" s="1">
        <v>2</v>
      </c>
      <c r="G12" s="1" t="s">
        <v>21</v>
      </c>
      <c r="H12" s="8"/>
      <c r="I12" s="14" t="s">
        <v>57</v>
      </c>
      <c r="J12" s="1">
        <f>J11</f>
        <v>7</v>
      </c>
      <c r="K12" s="1">
        <f xml:space="preserve"> K10</f>
        <v>57</v>
      </c>
      <c r="L12" s="1" t="s">
        <v>21</v>
      </c>
      <c r="O12" s="8"/>
      <c r="P12" s="1" t="s">
        <v>58</v>
      </c>
      <c r="Q12" s="1">
        <f xml:space="preserve"> IF(B10=0,J$25,CHOOSE(B10,J$19,J$20,J$21,J$22))</f>
        <v>20</v>
      </c>
      <c r="R12" s="1">
        <f xml:space="preserve"> IF(B10=0,$J$25,(Q12+J$7))</f>
        <v>28</v>
      </c>
      <c r="T12" s="10">
        <v>9</v>
      </c>
      <c r="U12" s="10" t="s">
        <v>59</v>
      </c>
      <c r="V12" s="10">
        <f xml:space="preserve"> Q4</f>
        <v>17</v>
      </c>
      <c r="W12" s="12" t="str">
        <f t="shared" si="1"/>
        <v>11</v>
      </c>
      <c r="X12" s="22">
        <f t="shared" si="2"/>
        <v>0</v>
      </c>
      <c r="Y12" s="1">
        <f>IF(V12&gt;V13,1,0)</f>
        <v>0</v>
      </c>
      <c r="AB12" s="1">
        <f t="shared" ref="AB12:AB14" si="7">(Q13-(R5-1))</f>
        <v>8</v>
      </c>
      <c r="AC12" s="1">
        <v>1</v>
      </c>
      <c r="AD12" s="1">
        <f t="shared" si="4"/>
        <v>0</v>
      </c>
      <c r="AE12" s="33"/>
    </row>
    <row r="13" spans="1:31" ht="11.25" customHeight="1" x14ac:dyDescent="0.45">
      <c r="A13" s="2" t="s">
        <v>53</v>
      </c>
      <c r="B13" s="3">
        <v>4</v>
      </c>
      <c r="D13" s="8"/>
      <c r="E13" s="15" t="s">
        <v>60</v>
      </c>
      <c r="F13" s="16">
        <v>5</v>
      </c>
      <c r="G13" s="1" t="s">
        <v>21</v>
      </c>
      <c r="H13" s="8"/>
      <c r="I13" s="14" t="s">
        <v>61</v>
      </c>
      <c r="J13" s="17">
        <f xml:space="preserve"> IF(B8="Yes",(J10+CEILING(F4/J3,1)),0)</f>
        <v>17</v>
      </c>
      <c r="K13" s="17"/>
      <c r="L13" s="1" t="s">
        <v>21</v>
      </c>
      <c r="O13" s="8"/>
      <c r="P13" s="1" t="s">
        <v>62</v>
      </c>
      <c r="Q13" s="1">
        <f xml:space="preserve"> IF(B11=0,J$25,CHOOSE(B11,J$19,J$20,J$21,J$22))</f>
        <v>29</v>
      </c>
      <c r="R13" s="1">
        <f xml:space="preserve"> IF(B11=0,$J$25,(Q13+J$7))</f>
        <v>37</v>
      </c>
      <c r="T13" s="10" t="s">
        <v>63</v>
      </c>
      <c r="U13" s="10" t="s">
        <v>64</v>
      </c>
      <c r="V13" s="10">
        <f xml:space="preserve"> R4-1</f>
        <v>18</v>
      </c>
      <c r="W13" s="12" t="str">
        <f t="shared" si="1"/>
        <v>12</v>
      </c>
      <c r="X13" s="22">
        <f t="shared" si="2"/>
        <v>0</v>
      </c>
      <c r="Z13" s="1">
        <f>(V13-V12+1)*$J$3</f>
        <v>62.5</v>
      </c>
      <c r="AA13" s="1">
        <f>IF(Z13&lt;55,1,0)</f>
        <v>0</v>
      </c>
      <c r="AB13" s="1">
        <f t="shared" si="7"/>
        <v>14</v>
      </c>
      <c r="AC13" s="1">
        <v>1</v>
      </c>
      <c r="AD13" s="1">
        <f t="shared" si="4"/>
        <v>0</v>
      </c>
      <c r="AE13" s="33"/>
    </row>
    <row r="14" spans="1:31" ht="11.25" customHeight="1" x14ac:dyDescent="0.45">
      <c r="D14" s="8"/>
      <c r="H14" s="8"/>
      <c r="I14" s="14" t="s">
        <v>65</v>
      </c>
      <c r="J14" s="17">
        <f xml:space="preserve"> J13</f>
        <v>17</v>
      </c>
      <c r="K14" s="17">
        <f xml:space="preserve"> J14+J$5</f>
        <v>19</v>
      </c>
      <c r="L14" s="1" t="s">
        <v>21</v>
      </c>
      <c r="O14" s="8"/>
      <c r="P14" s="1" t="s">
        <v>66</v>
      </c>
      <c r="Q14" s="1">
        <f xml:space="preserve"> IF(B12=0,J$25,CHOOSE(B12,J$19,J$20,J$21,J$22))</f>
        <v>38</v>
      </c>
      <c r="R14" s="1">
        <f xml:space="preserve"> IF(B12=0,$J$25,(Q14+J$7))</f>
        <v>46</v>
      </c>
      <c r="T14" s="10" t="s">
        <v>67</v>
      </c>
      <c r="U14" s="10" t="s">
        <v>68</v>
      </c>
      <c r="V14" s="11">
        <f xml:space="preserve"> Q11</f>
        <v>27</v>
      </c>
      <c r="W14" s="12" t="str">
        <f t="shared" si="1"/>
        <v>1B</v>
      </c>
      <c r="X14" s="22">
        <f t="shared" si="2"/>
        <v>0</v>
      </c>
      <c r="Y14" s="1">
        <f>IF(V14&gt;V15,1,0)</f>
        <v>0</v>
      </c>
      <c r="AB14" s="1">
        <f t="shared" si="7"/>
        <v>20</v>
      </c>
      <c r="AC14" s="1">
        <v>1</v>
      </c>
      <c r="AD14" s="1">
        <f t="shared" si="4"/>
        <v>0</v>
      </c>
      <c r="AE14" s="33"/>
    </row>
    <row r="15" spans="1:31" ht="11.25" customHeight="1" x14ac:dyDescent="0.45">
      <c r="A15" s="20"/>
      <c r="B15" s="21"/>
      <c r="C15" s="8"/>
      <c r="D15" s="8"/>
      <c r="H15" s="8"/>
      <c r="I15" s="14" t="s">
        <v>69</v>
      </c>
      <c r="J15" s="17">
        <f xml:space="preserve"> K14+F$7</f>
        <v>20</v>
      </c>
      <c r="K15" s="17">
        <f xml:space="preserve"> J15+J$5</f>
        <v>22</v>
      </c>
      <c r="L15" s="1" t="s">
        <v>21</v>
      </c>
      <c r="O15" s="8"/>
      <c r="P15" s="1" t="s">
        <v>70</v>
      </c>
      <c r="Q15" s="1">
        <f xml:space="preserve"> IF(B13=0,J$25,CHOOSE(B13,J$19,J$20,J$21,J$22))</f>
        <v>47</v>
      </c>
      <c r="R15" s="1">
        <f xml:space="preserve"> IF(B13=0,$J$25,(Q15+J$7))</f>
        <v>55</v>
      </c>
      <c r="T15" s="10" t="s">
        <v>71</v>
      </c>
      <c r="U15" s="10" t="s">
        <v>72</v>
      </c>
      <c r="V15" s="10">
        <f xml:space="preserve"> R11-1</f>
        <v>27</v>
      </c>
      <c r="W15" s="12" t="str">
        <f t="shared" si="1"/>
        <v>1B</v>
      </c>
      <c r="X15" s="22">
        <f t="shared" si="2"/>
        <v>0</v>
      </c>
      <c r="Z15" s="1">
        <f>(V15-V14+1)*$J$3</f>
        <v>31.25</v>
      </c>
      <c r="AA15" s="1">
        <f>IF(Z15&lt;30,1,0)</f>
        <v>0</v>
      </c>
      <c r="AB15" s="1">
        <f>(Q13-(R12-1))</f>
        <v>2</v>
      </c>
      <c r="AC15" s="1">
        <v>1</v>
      </c>
      <c r="AD15" s="1">
        <f t="shared" si="4"/>
        <v>0</v>
      </c>
      <c r="AE15" s="33" t="s">
        <v>121</v>
      </c>
    </row>
    <row r="16" spans="1:31" ht="11.25" customHeight="1" x14ac:dyDescent="0.45">
      <c r="A16" s="20"/>
      <c r="B16" s="21"/>
      <c r="C16" s="8"/>
      <c r="D16" s="8"/>
      <c r="H16" s="8"/>
      <c r="I16" s="14" t="s">
        <v>73</v>
      </c>
      <c r="J16" s="17">
        <f xml:space="preserve"> K15+F$7</f>
        <v>23</v>
      </c>
      <c r="K16" s="17">
        <f xml:space="preserve"> J16+J$5</f>
        <v>25</v>
      </c>
      <c r="L16" s="1" t="s">
        <v>21</v>
      </c>
      <c r="O16" s="8"/>
      <c r="T16" s="10" t="s">
        <v>74</v>
      </c>
      <c r="U16" s="10" t="s">
        <v>75</v>
      </c>
      <c r="V16" s="10">
        <f xml:space="preserve"> Q12</f>
        <v>20</v>
      </c>
      <c r="W16" s="12" t="str">
        <f t="shared" si="1"/>
        <v>14</v>
      </c>
      <c r="X16" s="22">
        <f t="shared" si="2"/>
        <v>0</v>
      </c>
      <c r="Y16" s="1">
        <f>IF(V16&gt;V17,1,0)</f>
        <v>0</v>
      </c>
      <c r="AB16" s="1">
        <f t="shared" ref="AB16:AB17" si="8">(Q14-(R13-1))</f>
        <v>2</v>
      </c>
      <c r="AC16" s="1">
        <v>1</v>
      </c>
      <c r="AD16" s="1">
        <f t="shared" si="4"/>
        <v>0</v>
      </c>
      <c r="AE16" s="33"/>
    </row>
    <row r="17" spans="1:31" ht="11.25" customHeight="1" x14ac:dyDescent="0.45">
      <c r="A17" s="20"/>
      <c r="B17" s="21"/>
      <c r="C17" s="8"/>
      <c r="D17" s="8"/>
      <c r="H17" s="8"/>
      <c r="I17" s="14" t="s">
        <v>76</v>
      </c>
      <c r="J17" s="17">
        <f xml:space="preserve"> K16+F$7</f>
        <v>26</v>
      </c>
      <c r="K17" s="17">
        <f xml:space="preserve"> J17+J$5</f>
        <v>28</v>
      </c>
      <c r="L17" s="1" t="s">
        <v>21</v>
      </c>
      <c r="O17" s="8"/>
      <c r="T17" s="10" t="s">
        <v>77</v>
      </c>
      <c r="U17" s="10" t="s">
        <v>78</v>
      </c>
      <c r="V17" s="10">
        <f xml:space="preserve"> R12-1</f>
        <v>27</v>
      </c>
      <c r="W17" s="12" t="str">
        <f t="shared" si="1"/>
        <v>1B</v>
      </c>
      <c r="X17" s="22">
        <f t="shared" si="2"/>
        <v>0</v>
      </c>
      <c r="Z17" s="1">
        <f>(V17-V16+1)*$J$3</f>
        <v>250</v>
      </c>
      <c r="AA17" s="1">
        <f>IF(Z17&lt;(52.3*($B$5-1)+67),1,0)</f>
        <v>0</v>
      </c>
      <c r="AB17" s="1">
        <f t="shared" si="8"/>
        <v>2</v>
      </c>
      <c r="AC17" s="1">
        <v>1</v>
      </c>
      <c r="AD17" s="1">
        <f t="shared" si="4"/>
        <v>0</v>
      </c>
      <c r="AE17" s="33"/>
    </row>
    <row r="18" spans="1:31" ht="11.25" customHeight="1" x14ac:dyDescent="0.25">
      <c r="A18" s="20"/>
      <c r="B18" s="21"/>
      <c r="C18" s="8"/>
      <c r="D18" s="8"/>
      <c r="H18" s="8"/>
      <c r="I18" s="2" t="s">
        <v>79</v>
      </c>
      <c r="J18" s="17">
        <f xml:space="preserve"> J5-J4</f>
        <v>1</v>
      </c>
      <c r="L18" s="1" t="s">
        <v>21</v>
      </c>
      <c r="O18" s="8"/>
      <c r="T18" s="10" t="s">
        <v>80</v>
      </c>
      <c r="U18" s="10" t="s">
        <v>81</v>
      </c>
      <c r="V18" s="10">
        <f xml:space="preserve"> Q13</f>
        <v>29</v>
      </c>
      <c r="W18" s="12" t="str">
        <f t="shared" si="1"/>
        <v>1D</v>
      </c>
      <c r="X18" s="22">
        <f t="shared" si="2"/>
        <v>0</v>
      </c>
      <c r="Y18" s="1">
        <f>IF(V18&gt;V19,1,0)</f>
        <v>0</v>
      </c>
      <c r="AB18" s="1">
        <f>(V32-V23+1)*$J$3</f>
        <v>93.75</v>
      </c>
      <c r="AC18" s="1">
        <v>15</v>
      </c>
      <c r="AD18" s="1">
        <f t="shared" si="4"/>
        <v>0</v>
      </c>
      <c r="AE18" s="1" t="s">
        <v>122</v>
      </c>
    </row>
    <row r="19" spans="1:31" ht="11.25" customHeight="1" x14ac:dyDescent="0.25">
      <c r="A19" s="20"/>
      <c r="B19" s="21"/>
      <c r="C19" s="8"/>
      <c r="D19" s="8"/>
      <c r="H19" s="8"/>
      <c r="I19" s="2" t="s">
        <v>82</v>
      </c>
      <c r="J19" s="17">
        <f xml:space="preserve"> K14+F$8</f>
        <v>20</v>
      </c>
      <c r="K19" s="17"/>
      <c r="L19" s="1" t="s">
        <v>21</v>
      </c>
      <c r="O19" s="8"/>
      <c r="T19" s="10">
        <v>10</v>
      </c>
      <c r="U19" s="10" t="s">
        <v>83</v>
      </c>
      <c r="V19" s="10">
        <f xml:space="preserve"> R13-1</f>
        <v>36</v>
      </c>
      <c r="W19" s="12" t="str">
        <f t="shared" si="1"/>
        <v>24</v>
      </c>
      <c r="X19" s="22">
        <f t="shared" si="2"/>
        <v>0</v>
      </c>
      <c r="Z19" s="1">
        <f>(V19-V18+1)*$J$3</f>
        <v>250</v>
      </c>
      <c r="AA19" s="1">
        <f>IF(Z19&lt;(52.3*($B$5-1)+67),1,0)</f>
        <v>0</v>
      </c>
      <c r="AB19" s="1">
        <f>(V29-V23)</f>
        <v>7</v>
      </c>
      <c r="AC19" s="1">
        <v>6</v>
      </c>
      <c r="AD19" s="1">
        <f t="shared" si="4"/>
        <v>0</v>
      </c>
      <c r="AE19" s="1" t="s">
        <v>123</v>
      </c>
    </row>
    <row r="20" spans="1:31" ht="11.25" customHeight="1" x14ac:dyDescent="0.25">
      <c r="A20" s="20"/>
      <c r="B20" s="21"/>
      <c r="C20" s="8"/>
      <c r="D20" s="8"/>
      <c r="H20" s="8"/>
      <c r="I20" s="2" t="s">
        <v>84</v>
      </c>
      <c r="J20" s="17">
        <f xml:space="preserve"> MAX((J19+J$7+F$9),(K15+F$8))</f>
        <v>29</v>
      </c>
      <c r="K20" s="17"/>
      <c r="L20" s="1" t="s">
        <v>21</v>
      </c>
      <c r="O20" s="8"/>
      <c r="T20" s="10">
        <v>11</v>
      </c>
      <c r="U20" s="10" t="s">
        <v>85</v>
      </c>
      <c r="V20" s="10">
        <f xml:space="preserve"> Q14</f>
        <v>38</v>
      </c>
      <c r="W20" s="12" t="str">
        <f t="shared" si="1"/>
        <v>26</v>
      </c>
      <c r="X20" s="22">
        <f t="shared" si="2"/>
        <v>0</v>
      </c>
      <c r="Y20" s="1">
        <f>IF(V20&gt;V21,1,0)</f>
        <v>0</v>
      </c>
      <c r="AB20" s="1">
        <f>(V30-V29+1)</f>
        <v>1</v>
      </c>
      <c r="AC20" s="1">
        <v>1</v>
      </c>
      <c r="AD20" s="1">
        <f t="shared" si="4"/>
        <v>0</v>
      </c>
      <c r="AE20" s="1" t="s">
        <v>124</v>
      </c>
    </row>
    <row r="21" spans="1:31" ht="11.25" customHeight="1" x14ac:dyDescent="0.25">
      <c r="A21" s="20"/>
      <c r="B21" s="21"/>
      <c r="C21" s="8"/>
      <c r="D21" s="8"/>
      <c r="H21" s="8"/>
      <c r="I21" s="2" t="s">
        <v>86</v>
      </c>
      <c r="J21" s="17">
        <f t="shared" ref="J21:J22" si="9" xml:space="preserve"> MAX((J20+J$7+F$9),(K16+F$8))</f>
        <v>38</v>
      </c>
      <c r="K21" s="17"/>
      <c r="L21" s="1" t="s">
        <v>21</v>
      </c>
      <c r="O21" s="8"/>
      <c r="T21" s="10">
        <v>12</v>
      </c>
      <c r="U21" s="10" t="s">
        <v>87</v>
      </c>
      <c r="V21" s="10">
        <f xml:space="preserve"> R14-1</f>
        <v>45</v>
      </c>
      <c r="W21" s="12" t="str">
        <f t="shared" si="1"/>
        <v>2D</v>
      </c>
      <c r="X21" s="22">
        <f t="shared" si="2"/>
        <v>0</v>
      </c>
      <c r="Z21" s="1">
        <f>(V21-V20+1)*$J$3</f>
        <v>250</v>
      </c>
      <c r="AA21" s="1">
        <f>IF(Z21&lt;(52.3*($B$5-1)+67),1,0)</f>
        <v>0</v>
      </c>
      <c r="AB21" s="1">
        <f>(V37-V30)</f>
        <v>6</v>
      </c>
      <c r="AC21" s="1">
        <v>5</v>
      </c>
      <c r="AD21" s="1">
        <f t="shared" si="4"/>
        <v>0</v>
      </c>
      <c r="AE21" s="1" t="s">
        <v>125</v>
      </c>
    </row>
    <row r="22" spans="1:31" ht="11.25" customHeight="1" x14ac:dyDescent="0.25">
      <c r="A22" s="20"/>
      <c r="B22" s="21"/>
      <c r="C22" s="8"/>
      <c r="D22" s="8"/>
      <c r="H22" s="8"/>
      <c r="I22" s="2" t="s">
        <v>88</v>
      </c>
      <c r="J22" s="17">
        <f t="shared" si="9"/>
        <v>47</v>
      </c>
      <c r="K22" s="17"/>
      <c r="L22" s="1" t="s">
        <v>21</v>
      </c>
      <c r="O22" s="8"/>
      <c r="T22" s="10">
        <v>13</v>
      </c>
      <c r="U22" s="10" t="s">
        <v>89</v>
      </c>
      <c r="V22" s="10">
        <f xml:space="preserve"> Q15</f>
        <v>47</v>
      </c>
      <c r="W22" s="12" t="str">
        <f t="shared" si="1"/>
        <v>2F</v>
      </c>
      <c r="X22" s="22">
        <f t="shared" si="2"/>
        <v>0</v>
      </c>
      <c r="Y22" s="1">
        <f>IF(V22&gt;V23,1,0)</f>
        <v>0</v>
      </c>
      <c r="AB22" s="1">
        <f>(Q4-V31+1)*$J$3</f>
        <v>343.75</v>
      </c>
      <c r="AC22" s="1">
        <v>300</v>
      </c>
      <c r="AD22" s="1">
        <f>IF(B8="Yes",IF(AB22&lt;AC22,1,0),IF(AB22=J3,0,1))</f>
        <v>0</v>
      </c>
      <c r="AE22" s="1" t="s">
        <v>126</v>
      </c>
    </row>
    <row r="23" spans="1:31" ht="11.25" customHeight="1" x14ac:dyDescent="0.25">
      <c r="A23" s="20"/>
      <c r="B23" s="21"/>
      <c r="C23" s="8"/>
      <c r="D23" s="8"/>
      <c r="H23" s="8"/>
      <c r="I23" s="2" t="s">
        <v>90</v>
      </c>
      <c r="J23" s="1">
        <f xml:space="preserve"> CHOOSE(MAX(B10:B13),J19,J20,J21,J22)+J7</f>
        <v>55</v>
      </c>
      <c r="L23" s="1" t="s">
        <v>21</v>
      </c>
      <c r="O23" s="8"/>
      <c r="T23" s="10">
        <v>14</v>
      </c>
      <c r="U23" s="10" t="s">
        <v>91</v>
      </c>
      <c r="V23" s="10">
        <f xml:space="preserve"> R15-1</f>
        <v>54</v>
      </c>
      <c r="W23" s="12" t="str">
        <f t="shared" si="1"/>
        <v>36</v>
      </c>
      <c r="X23" s="22">
        <f t="shared" si="2"/>
        <v>0</v>
      </c>
      <c r="Z23" s="1">
        <f>(V23-V22+1)*$J$3</f>
        <v>250</v>
      </c>
      <c r="AA23" s="1">
        <f>IF(Z23&lt;(52.3*($B$5-1)+67),1,0)</f>
        <v>0</v>
      </c>
      <c r="AB23" s="1">
        <f>V31*$J$3</f>
        <v>218.75</v>
      </c>
      <c r="AC23" s="1">
        <v>200</v>
      </c>
      <c r="AD23" s="23">
        <f>IF(B8="Yes",IF(AB23&lt;AC23,1,0),IF(AB23=0,0,1))</f>
        <v>0</v>
      </c>
      <c r="AE23" s="1" t="s">
        <v>127</v>
      </c>
    </row>
    <row r="24" spans="1:31" ht="11.25" customHeight="1" x14ac:dyDescent="0.25">
      <c r="A24" s="20"/>
      <c r="B24" s="21"/>
      <c r="C24" s="8"/>
      <c r="D24" s="8"/>
      <c r="H24" s="8"/>
      <c r="I24" s="2" t="s">
        <v>92</v>
      </c>
      <c r="J24" s="1">
        <f xml:space="preserve"> J23+F10</f>
        <v>61</v>
      </c>
      <c r="K24" s="1">
        <f xml:space="preserve"> J24+F11-1</f>
        <v>61</v>
      </c>
      <c r="L24" s="1" t="s">
        <v>21</v>
      </c>
      <c r="O24" s="8"/>
      <c r="T24" s="10" t="s">
        <v>93</v>
      </c>
      <c r="U24" s="10" t="s">
        <v>94</v>
      </c>
      <c r="V24" s="10">
        <f xml:space="preserve"> J6-1</f>
        <v>1279</v>
      </c>
      <c r="W24" s="12" t="str">
        <f t="shared" si="1"/>
        <v>4FF</v>
      </c>
      <c r="X24" s="22">
        <f t="shared" si="2"/>
        <v>0</v>
      </c>
    </row>
    <row r="25" spans="1:31" ht="11.25" customHeight="1" x14ac:dyDescent="0.25">
      <c r="A25" s="20"/>
      <c r="B25" s="21"/>
      <c r="C25" s="8"/>
      <c r="D25" s="8"/>
      <c r="H25" s="8"/>
      <c r="I25" s="2" t="s">
        <v>95</v>
      </c>
      <c r="J25" s="1">
        <f xml:space="preserve"> J6+10</f>
        <v>1290</v>
      </c>
      <c r="K25" s="1">
        <f xml:space="preserve"> J25+1</f>
        <v>1291</v>
      </c>
      <c r="L25" s="1" t="s">
        <v>21</v>
      </c>
      <c r="O25" s="8"/>
      <c r="T25" s="10">
        <v>36</v>
      </c>
      <c r="U25" s="10" t="s">
        <v>96</v>
      </c>
      <c r="V25" s="10">
        <f xml:space="preserve"> Q5</f>
        <v>20</v>
      </c>
      <c r="W25" s="12" t="str">
        <f t="shared" si="1"/>
        <v>14</v>
      </c>
      <c r="X25" s="22">
        <f t="shared" si="2"/>
        <v>0</v>
      </c>
      <c r="Y25" s="1">
        <f>IF(V25&gt;V26,1,0)</f>
        <v>0</v>
      </c>
    </row>
    <row r="26" spans="1:31" ht="11.25" customHeight="1" x14ac:dyDescent="0.25">
      <c r="D26" s="8"/>
      <c r="H26" s="8"/>
      <c r="J26" s="5"/>
      <c r="K26" s="5"/>
      <c r="L26" s="5"/>
      <c r="O26" s="8"/>
      <c r="T26" s="10">
        <v>37</v>
      </c>
      <c r="U26" s="10" t="s">
        <v>97</v>
      </c>
      <c r="V26" s="10">
        <f xml:space="preserve"> R5-1</f>
        <v>21</v>
      </c>
      <c r="W26" s="12" t="str">
        <f t="shared" si="1"/>
        <v>15</v>
      </c>
      <c r="X26" s="22">
        <f t="shared" si="2"/>
        <v>0</v>
      </c>
      <c r="Z26" s="1">
        <f>(V26-V25+1)*$J$3</f>
        <v>62.5</v>
      </c>
      <c r="AA26" s="1">
        <f>IF(Z26&lt;55,1,0)</f>
        <v>0</v>
      </c>
    </row>
    <row r="27" spans="1:31" ht="11.25" customHeight="1" x14ac:dyDescent="0.25">
      <c r="D27" s="8"/>
      <c r="H27" s="8"/>
      <c r="I27" s="2"/>
      <c r="O27" s="8"/>
      <c r="T27" s="10">
        <v>43</v>
      </c>
      <c r="U27" s="10" t="s">
        <v>98</v>
      </c>
      <c r="V27" s="10">
        <f xml:space="preserve"> Q7</f>
        <v>26</v>
      </c>
      <c r="W27" s="12" t="str">
        <f t="shared" si="1"/>
        <v>1A</v>
      </c>
      <c r="X27" s="22">
        <f t="shared" si="2"/>
        <v>0</v>
      </c>
      <c r="Y27" s="1">
        <f>IF(V27&gt;V28,1,0)</f>
        <v>0</v>
      </c>
    </row>
    <row r="28" spans="1:31" ht="11.25" customHeight="1" x14ac:dyDescent="0.25">
      <c r="D28" s="8"/>
      <c r="H28" s="8"/>
      <c r="I28" s="2"/>
      <c r="O28" s="8"/>
      <c r="T28" s="10">
        <v>44</v>
      </c>
      <c r="U28" s="10" t="s">
        <v>99</v>
      </c>
      <c r="V28" s="10">
        <f xml:space="preserve"> R7-1</f>
        <v>27</v>
      </c>
      <c r="W28" s="12" t="str">
        <f t="shared" si="1"/>
        <v>1B</v>
      </c>
      <c r="X28" s="22">
        <f t="shared" si="2"/>
        <v>0</v>
      </c>
      <c r="Z28" s="1">
        <f>(V28-V27+1)*$J$3</f>
        <v>62.5</v>
      </c>
      <c r="AA28" s="1">
        <f>IF(Z28&lt;55,1,0)</f>
        <v>0</v>
      </c>
    </row>
    <row r="29" spans="1:31" ht="11.25" customHeight="1" x14ac:dyDescent="0.25">
      <c r="H29" s="8"/>
      <c r="I29" s="2"/>
      <c r="O29" s="8"/>
      <c r="T29" s="10">
        <v>52</v>
      </c>
      <c r="U29" s="10" t="s">
        <v>100</v>
      </c>
      <c r="V29" s="10">
        <f xml:space="preserve"> J24</f>
        <v>61</v>
      </c>
      <c r="W29" s="12" t="str">
        <f t="shared" si="1"/>
        <v>3D</v>
      </c>
      <c r="X29" s="22">
        <f t="shared" si="2"/>
        <v>0</v>
      </c>
      <c r="Y29" s="1">
        <f>IF(V29&gt;V30,1,0)</f>
        <v>0</v>
      </c>
    </row>
    <row r="30" spans="1:31" ht="11.25" customHeight="1" x14ac:dyDescent="0.25">
      <c r="B30" s="31" t="s">
        <v>106</v>
      </c>
      <c r="C30" s="32"/>
      <c r="H30" s="8"/>
      <c r="I30" s="2"/>
      <c r="J30" s="5"/>
      <c r="K30" s="5"/>
      <c r="L30" s="5"/>
      <c r="M30" s="5"/>
      <c r="N30" s="5"/>
      <c r="O30" s="8"/>
      <c r="T30" s="10">
        <v>53</v>
      </c>
      <c r="U30" s="10" t="s">
        <v>103</v>
      </c>
      <c r="V30" s="10">
        <f>K24</f>
        <v>61</v>
      </c>
      <c r="W30" s="12" t="str">
        <f t="shared" si="1"/>
        <v>3D</v>
      </c>
      <c r="X30" s="22">
        <f t="shared" si="2"/>
        <v>0</v>
      </c>
      <c r="Z30" s="1">
        <f>(V30-V29+1)*$J$3</f>
        <v>31.25</v>
      </c>
    </row>
    <row r="31" spans="1:31" ht="11.25" customHeight="1" x14ac:dyDescent="0.25">
      <c r="B31" s="18" t="s">
        <v>108</v>
      </c>
      <c r="C31" s="19" t="s">
        <v>109</v>
      </c>
      <c r="D31" s="8"/>
      <c r="H31" s="8"/>
      <c r="I31" s="2"/>
      <c r="O31" s="8"/>
      <c r="R31" s="5"/>
      <c r="T31" s="10">
        <v>64</v>
      </c>
      <c r="U31" s="10" t="s">
        <v>104</v>
      </c>
      <c r="V31" s="10">
        <f xml:space="preserve"> J10</f>
        <v>7</v>
      </c>
      <c r="W31" s="12" t="str">
        <f t="shared" si="1"/>
        <v>7</v>
      </c>
      <c r="X31" s="22">
        <f t="shared" si="2"/>
        <v>0</v>
      </c>
      <c r="Y31" s="1">
        <f>IF(V31&gt;V32,1,0)</f>
        <v>0</v>
      </c>
    </row>
    <row r="32" spans="1:31" ht="11.25" customHeight="1" x14ac:dyDescent="0.25">
      <c r="D32" s="8"/>
      <c r="H32" s="8"/>
      <c r="I32" s="2"/>
      <c r="O32" s="8"/>
      <c r="T32" s="10">
        <v>65</v>
      </c>
      <c r="U32" s="10" t="s">
        <v>105</v>
      </c>
      <c r="V32" s="10">
        <f xml:space="preserve"> K10-1</f>
        <v>56</v>
      </c>
      <c r="W32" s="12" t="str">
        <f t="shared" si="1"/>
        <v>38</v>
      </c>
      <c r="X32" s="22">
        <f>IF(B8="Yes",IF(V32&gt;$V$24,1,0),IF(V32&lt;$V$24,1,0))</f>
        <v>0</v>
      </c>
      <c r="Z32" s="1">
        <f>(V32-V31+1)*$J$3</f>
        <v>1562.5</v>
      </c>
    </row>
    <row r="33" spans="1:30" ht="11.25" customHeight="1" x14ac:dyDescent="0.25">
      <c r="A33" s="16" t="s">
        <v>112</v>
      </c>
      <c r="D33" s="8"/>
      <c r="H33" s="8"/>
      <c r="I33" s="2"/>
      <c r="O33" s="8"/>
      <c r="T33" s="10">
        <v>66</v>
      </c>
      <c r="U33" s="10" t="s">
        <v>107</v>
      </c>
      <c r="V33" s="10">
        <f xml:space="preserve"> J11</f>
        <v>7</v>
      </c>
      <c r="W33" s="12" t="str">
        <f t="shared" si="1"/>
        <v>7</v>
      </c>
      <c r="X33" s="22">
        <f t="shared" si="2"/>
        <v>0</v>
      </c>
      <c r="Y33" s="1">
        <f>IF(V33&gt;V34,1,0)</f>
        <v>0</v>
      </c>
    </row>
    <row r="34" spans="1:30" ht="11.25" customHeight="1" x14ac:dyDescent="0.45">
      <c r="A34" s="16" t="s">
        <v>117</v>
      </c>
      <c r="D34" s="8"/>
      <c r="H34" s="8"/>
      <c r="I34" s="2"/>
      <c r="O34" s="8"/>
      <c r="T34" s="10">
        <v>67</v>
      </c>
      <c r="U34" s="10" t="s">
        <v>110</v>
      </c>
      <c r="V34" s="10">
        <f xml:space="preserve"> K11-1</f>
        <v>56</v>
      </c>
      <c r="W34" s="12" t="str">
        <f t="shared" si="1"/>
        <v>38</v>
      </c>
      <c r="X34" s="22">
        <f>IF(B8="Yes",IF(V34&gt;$V$24,1,0),IF(V34&lt;$V$24,1,0))</f>
        <v>0</v>
      </c>
      <c r="Z34" s="1">
        <f>(V34-V33+1)*$J$3</f>
        <v>1562.5</v>
      </c>
    </row>
    <row r="35" spans="1:30" ht="11.25" customHeight="1" x14ac:dyDescent="0.25">
      <c r="J35" s="5"/>
      <c r="K35" s="5"/>
      <c r="L35" s="5"/>
      <c r="M35" s="5"/>
      <c r="T35" s="10">
        <v>68</v>
      </c>
      <c r="U35" s="10" t="s">
        <v>111</v>
      </c>
      <c r="V35" s="10">
        <f xml:space="preserve"> J12</f>
        <v>7</v>
      </c>
      <c r="W35" s="12" t="str">
        <f t="shared" si="1"/>
        <v>7</v>
      </c>
      <c r="X35" s="22">
        <f t="shared" si="2"/>
        <v>0</v>
      </c>
      <c r="Y35" s="1">
        <f>IF(V35&gt;V36,1,0)</f>
        <v>0</v>
      </c>
    </row>
    <row r="36" spans="1:30" ht="11.25" customHeight="1" x14ac:dyDescent="0.45">
      <c r="I36" s="15"/>
      <c r="J36" s="16"/>
      <c r="K36" s="16"/>
      <c r="L36" s="16"/>
      <c r="M36" s="16"/>
      <c r="T36" s="10">
        <v>69</v>
      </c>
      <c r="U36" s="10" t="s">
        <v>113</v>
      </c>
      <c r="V36" s="10">
        <f xml:space="preserve"> K12-1</f>
        <v>56</v>
      </c>
      <c r="W36" s="12" t="str">
        <f t="shared" si="1"/>
        <v>38</v>
      </c>
      <c r="X36" s="22">
        <f>IF(B8="Yes",IF(V36&gt;$V$24,1,0),IF(V36&lt;$V$24,1,0))</f>
        <v>0</v>
      </c>
      <c r="Z36" s="1">
        <f>(V36-V35+1)*$J$3</f>
        <v>1562.5</v>
      </c>
    </row>
    <row r="37" spans="1:30" ht="11.25" customHeight="1" x14ac:dyDescent="0.45">
      <c r="I37" s="2"/>
      <c r="J37" s="5"/>
      <c r="K37" s="5"/>
      <c r="L37" s="5"/>
      <c r="M37" s="5"/>
      <c r="N37" s="5"/>
      <c r="T37" s="10" t="s">
        <v>128</v>
      </c>
      <c r="U37" s="10" t="s">
        <v>114</v>
      </c>
      <c r="V37" s="10">
        <f xml:space="preserve"> J9</f>
        <v>67</v>
      </c>
      <c r="W37" s="12" t="str">
        <f t="shared" si="1"/>
        <v>43</v>
      </c>
      <c r="X37" s="22">
        <f>IF(B8="Yes",IF(V37&gt;$V$24,1,0),IF(V37&lt;$V$24,1,0))</f>
        <v>0</v>
      </c>
      <c r="Y37" s="1">
        <f>IF(B8="Yes",IF(V37&gt;V38,1,0),IF(V37&lt;V38,1,0))</f>
        <v>0</v>
      </c>
    </row>
    <row r="38" spans="1:30" ht="11.25" customHeight="1" x14ac:dyDescent="0.45">
      <c r="I38" s="2"/>
      <c r="T38" s="10" t="s">
        <v>129</v>
      </c>
      <c r="U38" s="10" t="s">
        <v>115</v>
      </c>
      <c r="V38" s="10">
        <f xml:space="preserve"> K9-1</f>
        <v>1279</v>
      </c>
      <c r="W38" s="12" t="str">
        <f t="shared" si="1"/>
        <v>4FF</v>
      </c>
      <c r="X38" s="22">
        <f t="shared" si="2"/>
        <v>0</v>
      </c>
      <c r="Z38" s="1">
        <f>(V38-V37+1)*$J$3</f>
        <v>37906.25</v>
      </c>
    </row>
    <row r="39" spans="1:30" ht="11.25" customHeight="1" x14ac:dyDescent="0.45">
      <c r="I39" s="2"/>
      <c r="J39" s="5"/>
      <c r="K39" s="5"/>
      <c r="L39" s="5"/>
      <c r="M39" s="5"/>
      <c r="X39" s="4"/>
    </row>
    <row r="40" spans="1:30" ht="11.25" customHeight="1" x14ac:dyDescent="0.45">
      <c r="I40" s="2"/>
      <c r="X40" s="4"/>
    </row>
    <row r="41" spans="1:30" x14ac:dyDescent="0.45">
      <c r="U41" s="33" t="str">
        <f>IF(SUM(X41:AD41)&gt;0,"Invalid","Valid")</f>
        <v>Valid</v>
      </c>
      <c r="X41" s="4">
        <f>IF(SUM(X4:X38)&gt;0,1,0)</f>
        <v>0</v>
      </c>
      <c r="Y41" s="4">
        <f>IF(SUM(Y4:Y38)&gt;0,1,0)</f>
        <v>0</v>
      </c>
      <c r="AA41" s="4">
        <f>IF(SUM(AA4:AA38)&gt;0,1,0)</f>
        <v>0</v>
      </c>
      <c r="AD41" s="4">
        <f>IF(SUM(AD4:AD38)&gt;0,1,0)</f>
        <v>0</v>
      </c>
    </row>
    <row r="42" spans="1:30" x14ac:dyDescent="0.45">
      <c r="U42" s="33"/>
      <c r="X42" s="4"/>
    </row>
  </sheetData>
  <mergeCells count="16">
    <mergeCell ref="U41:U42"/>
    <mergeCell ref="A9:C9"/>
    <mergeCell ref="B30:C30"/>
    <mergeCell ref="AE4:AE7"/>
    <mergeCell ref="AE8:AE10"/>
    <mergeCell ref="AE11:AE14"/>
    <mergeCell ref="AE15:AE17"/>
    <mergeCell ref="A1:C1"/>
    <mergeCell ref="E1:G1"/>
    <mergeCell ref="I1:R1"/>
    <mergeCell ref="T1:W1"/>
    <mergeCell ref="A2:C2"/>
    <mergeCell ref="E2:G2"/>
    <mergeCell ref="I2:N2"/>
    <mergeCell ref="P2:R2"/>
    <mergeCell ref="T2:W2"/>
  </mergeCells>
  <conditionalFormatting sqref="U41:U42">
    <cfRule type="cellIs" dxfId="1" priority="2" operator="equal">
      <formula>"Valid"</formula>
    </cfRule>
    <cfRule type="cellIs" dxfId="0" priority="1" operator="equal">
      <formula>"Invalid"</formula>
    </cfRule>
  </conditionalFormatting>
  <dataValidations count="5">
    <dataValidation type="whole" allowBlank="1" showInputMessage="1" showErrorMessage="1" sqref="B15:B25">
      <formula1>0</formula1>
      <formula2>50</formula2>
    </dataValidation>
    <dataValidation type="list" allowBlank="1" showInputMessage="1" showErrorMessage="1" sqref="B4">
      <formula1>"1,2,4,8,16"</formula1>
    </dataValidation>
    <dataValidation type="list" allowBlank="1" showInputMessage="1" showErrorMessage="1" sqref="B10:B13">
      <formula1>"0,1,2,3,4"</formula1>
    </dataValidation>
    <dataValidation type="list" allowBlank="1" showInputMessage="1" showErrorMessage="1" sqref="B8">
      <formula1>"Yes, No"</formula1>
    </dataValidation>
    <dataValidation type="decimal" allowBlank="1" showInputMessage="1" showErrorMessage="1" sqref="B5">
      <formula1>2</formula1>
      <formula2>16</formula2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AFE4410</vt:lpstr>
    </vt:vector>
  </TitlesOfParts>
  <Company>Texas Instruments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Yadav, Prabin</dc:creator>
  <cp:lastModifiedBy>Windows User</cp:lastModifiedBy>
  <dcterms:created xsi:type="dcterms:W3CDTF">2017-01-02T08:42:04Z</dcterms:created>
  <dcterms:modified xsi:type="dcterms:W3CDTF">2018-10-03T06:27:09Z</dcterms:modified>
</cp:coreProperties>
</file>